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filterPrivacy="1" defaultThemeVersion="124226"/>
  <xr:revisionPtr revIDLastSave="0" documentId="8_{406EFBCB-FC7E-4817-B715-219032BCADE8}" xr6:coauthVersionLast="47" xr6:coauthVersionMax="47" xr10:uidLastSave="{00000000-0000-0000-0000-000000000000}"/>
  <bookViews>
    <workbookView xWindow="360" yWindow="300" windowWidth="18732" windowHeight="11700" xr2:uid="{00000000-000D-0000-FFFF-FFFF00000000}"/>
  </bookViews>
  <sheets>
    <sheet name="2026" sheetId="1" r:id="rId1"/>
    <sheet name="2027" sheetId="2" r:id="rId2"/>
    <sheet name="Plan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2" l="1"/>
  <c r="M31" i="2"/>
  <c r="L31" i="2"/>
  <c r="K31" i="2"/>
  <c r="J31" i="2"/>
  <c r="I31" i="2"/>
  <c r="H31" i="2"/>
  <c r="G31" i="2"/>
  <c r="F31" i="2"/>
  <c r="E31" i="2"/>
  <c r="D31" i="2"/>
  <c r="C31" i="2"/>
  <c r="B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4" i="2"/>
  <c r="O13" i="2"/>
  <c r="O12" i="2"/>
  <c r="O11" i="2"/>
  <c r="O10" i="2"/>
  <c r="O9" i="2"/>
  <c r="O31" i="2" s="1"/>
  <c r="N6" i="2"/>
  <c r="M6" i="2"/>
  <c r="L6" i="2"/>
  <c r="K6" i="2"/>
  <c r="J6" i="2"/>
  <c r="I6" i="2"/>
  <c r="H6" i="2"/>
  <c r="G6" i="2"/>
  <c r="F6" i="2"/>
  <c r="E6" i="2"/>
  <c r="D6" i="2"/>
  <c r="C6" i="2"/>
  <c r="B6" i="2"/>
  <c r="O5" i="2"/>
  <c r="O4" i="2"/>
  <c r="O3" i="2"/>
  <c r="O2" i="2"/>
  <c r="L35" i="1"/>
  <c r="K35" i="1"/>
  <c r="I35" i="1"/>
  <c r="H35" i="1"/>
  <c r="G35" i="1"/>
  <c r="F35" i="1"/>
  <c r="E35" i="1"/>
  <c r="D35" i="1"/>
  <c r="O21" i="1"/>
  <c r="O22" i="1"/>
  <c r="O23" i="1"/>
  <c r="O24" i="1"/>
  <c r="O25" i="1"/>
  <c r="O26" i="1"/>
  <c r="O27" i="1"/>
  <c r="O28" i="1"/>
  <c r="O29" i="1"/>
  <c r="O10" i="1"/>
  <c r="O11" i="1"/>
  <c r="O12" i="1"/>
  <c r="O13" i="1"/>
  <c r="O14" i="1"/>
  <c r="O16" i="1"/>
  <c r="O17" i="1"/>
  <c r="O18" i="1"/>
  <c r="O19" i="1"/>
  <c r="O20" i="1"/>
  <c r="O30" i="1"/>
  <c r="O9" i="1"/>
  <c r="C31" i="1"/>
  <c r="D31" i="1"/>
  <c r="E31" i="1"/>
  <c r="F31" i="1"/>
  <c r="G31" i="1"/>
  <c r="H31" i="1"/>
  <c r="I31" i="1"/>
  <c r="J31" i="1"/>
  <c r="K31" i="1"/>
  <c r="L31" i="1"/>
  <c r="M31" i="1"/>
  <c r="N31" i="1"/>
  <c r="B31" i="1"/>
  <c r="C6" i="1"/>
  <c r="C35" i="1" s="1"/>
  <c r="D6" i="1"/>
  <c r="E6" i="1"/>
  <c r="F6" i="1"/>
  <c r="G6" i="1"/>
  <c r="H6" i="1"/>
  <c r="I6" i="1"/>
  <c r="J6" i="1"/>
  <c r="J35" i="1" s="1"/>
  <c r="K6" i="1"/>
  <c r="L6" i="1"/>
  <c r="M6" i="1"/>
  <c r="M35" i="1" s="1"/>
  <c r="N6" i="1"/>
  <c r="B6" i="1"/>
  <c r="O3" i="1"/>
  <c r="O4" i="1"/>
  <c r="O5" i="1"/>
  <c r="O2" i="1"/>
  <c r="B33" i="1" l="1"/>
  <c r="B35" i="1"/>
  <c r="B35" i="2"/>
  <c r="B33" i="2"/>
  <c r="O6" i="2"/>
  <c r="O33" i="2" s="1"/>
  <c r="C35" i="2"/>
  <c r="C33" i="2"/>
  <c r="D35" i="2"/>
  <c r="D33" i="2"/>
  <c r="E35" i="2"/>
  <c r="E33" i="2"/>
  <c r="F35" i="2"/>
  <c r="F33" i="2"/>
  <c r="G35" i="2"/>
  <c r="G33" i="2"/>
  <c r="H35" i="2"/>
  <c r="H33" i="2"/>
  <c r="I35" i="2"/>
  <c r="I33" i="2"/>
  <c r="J35" i="2"/>
  <c r="J33" i="2"/>
  <c r="K35" i="2"/>
  <c r="K33" i="2"/>
  <c r="L35" i="2"/>
  <c r="L33" i="2"/>
  <c r="M35" i="2"/>
  <c r="M33" i="2"/>
  <c r="N35" i="2"/>
  <c r="N33" i="2"/>
  <c r="N33" i="1"/>
  <c r="N35" i="1"/>
  <c r="H33" i="1"/>
  <c r="G33" i="1"/>
  <c r="F33" i="1"/>
  <c r="O35" i="1"/>
  <c r="K33" i="1"/>
  <c r="C33" i="1"/>
  <c r="D33" i="1"/>
  <c r="E33" i="1"/>
  <c r="M33" i="1"/>
  <c r="L33" i="1"/>
  <c r="J33" i="1"/>
  <c r="I33" i="1"/>
  <c r="O31" i="1"/>
  <c r="O6" i="1"/>
  <c r="O35" i="2" l="1"/>
  <c r="O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Tiago Pessoa</author>
  </authors>
  <commentList>
    <comment ref="J17" authorId="0" shapeId="0" xr:uid="{0751A173-111E-4FAB-9C26-E8EFD35AEDAC}">
      <text>
        <r>
          <rPr>
            <sz val="11"/>
            <color theme="1"/>
            <rFont val="Calibri"/>
            <family val="2"/>
            <scheme val="minor"/>
          </rPr>
          <t>Tiago: 170$
Estefanny: 723$</t>
        </r>
      </text>
    </comment>
    <comment ref="J19" authorId="0" shapeId="0" xr:uid="{315504E2-FF82-456B-A476-B8F05FD16632}">
      <text>
        <r>
          <rPr>
            <sz val="11"/>
            <color theme="1"/>
            <rFont val="Calibri"/>
            <family val="2"/>
            <scheme val="minor"/>
          </rPr>
          <t>EMANOEL - PNEU</t>
        </r>
      </text>
    </comment>
    <comment ref="K19" authorId="0" shapeId="0" xr:uid="{24E9A410-A3A1-4EC7-A873-4EC1E413E257}">
      <text>
        <r>
          <rPr>
            <sz val="11"/>
            <color theme="1"/>
            <rFont val="Calibri"/>
            <family val="2"/>
            <scheme val="minor"/>
          </rPr>
          <t>PASSEIO CEARA</t>
        </r>
      </text>
    </comment>
  </commentList>
</comments>
</file>

<file path=xl/sharedStrings.xml><?xml version="1.0" encoding="utf-8"?>
<sst xmlns="http://schemas.openxmlformats.org/spreadsheetml/2006/main" count="114" uniqueCount="45">
  <si>
    <t>Receitas</t>
  </si>
  <si>
    <t>Janeiro</t>
  </si>
  <si>
    <t>Fevereiro</t>
  </si>
  <si>
    <t>Março</t>
  </si>
  <si>
    <t>Abril</t>
  </si>
  <si>
    <t xml:space="preserve">Maio </t>
  </si>
  <si>
    <t>Junho</t>
  </si>
  <si>
    <t>Julho</t>
  </si>
  <si>
    <t>Agosto</t>
  </si>
  <si>
    <t>Setembro</t>
  </si>
  <si>
    <t>Outubro</t>
  </si>
  <si>
    <t>Novembro</t>
  </si>
  <si>
    <t>Dezembro</t>
  </si>
  <si>
    <t>Acumulado</t>
  </si>
  <si>
    <t>Valor anual</t>
  </si>
  <si>
    <t>TIAGO</t>
  </si>
  <si>
    <t>ESTEFANNY</t>
  </si>
  <si>
    <t>TIAGO 2</t>
  </si>
  <si>
    <t>DIVERSOS</t>
  </si>
  <si>
    <t>Total Receitas</t>
  </si>
  <si>
    <t>Despesas</t>
  </si>
  <si>
    <t>CAERN</t>
  </si>
  <si>
    <t>COSERN</t>
  </si>
  <si>
    <t>INTERNET</t>
  </si>
  <si>
    <t>ALIMENTAÇÃO</t>
  </si>
  <si>
    <t>COMBUSTIVEL</t>
  </si>
  <si>
    <t>CARTÃO TIAGO</t>
  </si>
  <si>
    <t>CARTÃO ESTEFANNY</t>
  </si>
  <si>
    <t>IPTV</t>
  </si>
  <si>
    <t>EMPRESTIMOS</t>
  </si>
  <si>
    <t>CARRO</t>
  </si>
  <si>
    <t>OUTROS</t>
  </si>
  <si>
    <t>PANOBIANCO</t>
  </si>
  <si>
    <t>WELHUB</t>
  </si>
  <si>
    <t>BOTICARIO</t>
  </si>
  <si>
    <t>MOTO</t>
  </si>
  <si>
    <t>VIVO TIAGO</t>
  </si>
  <si>
    <t>VIVO ESTEFANNY</t>
  </si>
  <si>
    <t>RASTREADOR MOTO</t>
  </si>
  <si>
    <t>RASTREADOR CARRO</t>
  </si>
  <si>
    <t>RACÃO</t>
  </si>
  <si>
    <t>Total de despesas</t>
  </si>
  <si>
    <t>SALDO</t>
  </si>
  <si>
    <t>Saldo do mês</t>
  </si>
  <si>
    <t>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</si>
</sst>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9D9D9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0" fontId="4" fillId="2" borderId="1" xfId="0" applyFont="1" applyFill="1" applyBorder="1"/>
    <xf numFmtId="0" fontId="5" fillId="0" borderId="9" xfId="0" applyFont="1" applyBorder="1"/>
    <xf numFmtId="0" fontId="5" fillId="0" borderId="9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2" borderId="10" xfId="0" applyFont="1" applyFill="1" applyBorder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44" fontId="5" fillId="0" borderId="0" xfId="1" applyFont="1"/>
    <xf numFmtId="44" fontId="5" fillId="0" borderId="0" xfId="1" applyFont="1" applyAlignment="1">
      <alignment horizontal="center"/>
    </xf>
    <xf numFmtId="44" fontId="5" fillId="0" borderId="0" xfId="1" applyFont="1" applyFill="1"/>
    <xf numFmtId="44" fontId="5" fillId="0" borderId="7" xfId="1" applyFont="1" applyFill="1" applyBorder="1"/>
    <xf numFmtId="44" fontId="4" fillId="0" borderId="0" xfId="1" applyFont="1"/>
    <xf numFmtId="44" fontId="2" fillId="4" borderId="0" xfId="1" applyFont="1" applyFill="1"/>
    <xf numFmtId="44" fontId="5" fillId="0" borderId="0" xfId="1" applyFont="1" applyFill="1" applyAlignment="1">
      <alignment horizontal="center"/>
    </xf>
    <xf numFmtId="44" fontId="5" fillId="0" borderId="7" xfId="1" applyFont="1" applyFill="1" applyBorder="1" applyAlignment="1">
      <alignment horizontal="center"/>
    </xf>
    <xf numFmtId="44" fontId="4" fillId="0" borderId="0" xfId="1" applyFont="1" applyAlignment="1">
      <alignment horizontal="center"/>
    </xf>
    <xf numFmtId="44" fontId="4" fillId="0" borderId="0" xfId="1" applyFont="1" applyFill="1"/>
    <xf numFmtId="44" fontId="3" fillId="2" borderId="3" xfId="1" applyFont="1" applyFill="1" applyBorder="1" applyAlignment="1">
      <alignment horizontal="center"/>
    </xf>
    <xf numFmtId="44" fontId="5" fillId="0" borderId="5" xfId="1" applyFont="1" applyFill="1" applyBorder="1" applyAlignment="1">
      <alignment horizontal="center"/>
    </xf>
    <xf numFmtId="44" fontId="5" fillId="0" borderId="13" xfId="1" applyFont="1" applyFill="1" applyBorder="1" applyAlignment="1">
      <alignment horizontal="center"/>
    </xf>
    <xf numFmtId="44" fontId="5" fillId="0" borderId="13" xfId="1" applyFont="1" applyBorder="1" applyAlignment="1">
      <alignment horizontal="center"/>
    </xf>
    <xf numFmtId="44" fontId="6" fillId="3" borderId="0" xfId="1" applyFont="1" applyFill="1"/>
    <xf numFmtId="44" fontId="5" fillId="0" borderId="6" xfId="1" applyFont="1" applyFill="1" applyBorder="1" applyAlignment="1">
      <alignment horizontal="center"/>
    </xf>
    <xf numFmtId="44" fontId="5" fillId="0" borderId="0" xfId="1" applyFont="1" applyFill="1" applyBorder="1" applyAlignment="1">
      <alignment horizontal="center"/>
    </xf>
    <xf numFmtId="44" fontId="5" fillId="0" borderId="0" xfId="1" applyFont="1" applyBorder="1" applyAlignment="1">
      <alignment horizontal="center"/>
    </xf>
    <xf numFmtId="44" fontId="4" fillId="0" borderId="7" xfId="1" applyFont="1" applyBorder="1"/>
    <xf numFmtId="44" fontId="3" fillId="0" borderId="0" xfId="1" applyFont="1" applyAlignment="1">
      <alignment horizontal="center" vertical="center"/>
    </xf>
    <xf numFmtId="44" fontId="3" fillId="2" borderId="1" xfId="1" applyFont="1" applyFill="1" applyBorder="1"/>
    <xf numFmtId="0" fontId="4" fillId="0" borderId="0" xfId="0" applyFont="1" applyFill="1" applyBorder="1"/>
    <xf numFmtId="44" fontId="7" fillId="0" borderId="0" xfId="0" applyNumberFormat="1" applyFont="1" applyAlignment="1">
      <alignment horizontal="left"/>
    </xf>
    <xf numFmtId="44" fontId="8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topLeftCell="A22" workbookViewId="0">
      <selection activeCell="J31" sqref="J31"/>
    </sheetView>
  </sheetViews>
  <sheetFormatPr defaultRowHeight="14.45"/>
  <cols>
    <col min="1" max="1" width="18.42578125" bestFit="1" customWidth="1"/>
    <col min="2" max="2" width="12.42578125" bestFit="1" customWidth="1"/>
    <col min="3" max="9" width="10.7109375" bestFit="1" customWidth="1"/>
    <col min="10" max="13" width="12.42578125" bestFit="1" customWidth="1"/>
    <col min="14" max="14" width="10.7109375" bestFit="1" customWidth="1"/>
    <col min="15" max="15" width="12.85546875" bestFit="1" customWidth="1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0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" t="s">
        <v>13</v>
      </c>
      <c r="O1" s="5" t="s">
        <v>14</v>
      </c>
      <c r="P1" s="6"/>
      <c r="Q1" s="6"/>
      <c r="R1" s="6"/>
      <c r="S1" s="6"/>
      <c r="T1" s="6"/>
    </row>
    <row r="2" spans="1:20">
      <c r="A2" s="6" t="s">
        <v>15</v>
      </c>
      <c r="B2" s="28"/>
      <c r="C2" s="28"/>
      <c r="D2" s="28"/>
      <c r="E2" s="28"/>
      <c r="F2" s="28"/>
      <c r="G2" s="28"/>
      <c r="H2" s="33"/>
      <c r="I2" s="34"/>
      <c r="J2" s="34">
        <v>3585</v>
      </c>
      <c r="K2" s="35">
        <v>3525</v>
      </c>
      <c r="L2" s="35">
        <v>3440</v>
      </c>
      <c r="M2" s="35">
        <v>6876</v>
      </c>
      <c r="N2" s="26"/>
      <c r="O2" s="36">
        <f>SUM(B2:N2)</f>
        <v>17426</v>
      </c>
      <c r="P2" s="6"/>
      <c r="Q2" s="6"/>
      <c r="R2" s="6"/>
      <c r="S2" s="6"/>
      <c r="T2" s="6"/>
    </row>
    <row r="3" spans="1:20">
      <c r="A3" s="6" t="s">
        <v>16</v>
      </c>
      <c r="B3" s="28"/>
      <c r="C3" s="28"/>
      <c r="D3" s="28"/>
      <c r="E3" s="28"/>
      <c r="F3" s="28"/>
      <c r="G3" s="28"/>
      <c r="H3" s="37"/>
      <c r="I3" s="38"/>
      <c r="J3" s="38">
        <v>1600</v>
      </c>
      <c r="K3" s="39">
        <v>1600</v>
      </c>
      <c r="L3" s="39">
        <v>1600</v>
      </c>
      <c r="M3" s="39">
        <v>3000</v>
      </c>
      <c r="N3" s="30"/>
      <c r="O3" s="36">
        <f t="shared" ref="O3:O6" si="0">SUM(B3:N3)</f>
        <v>7800</v>
      </c>
      <c r="P3" s="6"/>
      <c r="Q3" s="6"/>
      <c r="R3" s="6"/>
      <c r="S3" s="6"/>
      <c r="T3" s="6"/>
    </row>
    <row r="4" spans="1:20">
      <c r="A4" t="s">
        <v>17</v>
      </c>
      <c r="B4" s="28"/>
      <c r="C4" s="28"/>
      <c r="D4" s="28"/>
      <c r="E4" s="28"/>
      <c r="F4" s="28"/>
      <c r="G4" s="28"/>
      <c r="H4" s="37"/>
      <c r="I4" s="28"/>
      <c r="J4" s="28">
        <v>700</v>
      </c>
      <c r="K4" s="23"/>
      <c r="L4" s="23"/>
      <c r="M4" s="23"/>
      <c r="N4" s="30"/>
      <c r="O4" s="36">
        <f t="shared" si="0"/>
        <v>700</v>
      </c>
      <c r="P4" s="6"/>
      <c r="Q4" s="6"/>
      <c r="R4" s="6"/>
      <c r="S4" s="6"/>
      <c r="T4" s="6"/>
    </row>
    <row r="5" spans="1:20">
      <c r="A5" s="43" t="s">
        <v>18</v>
      </c>
      <c r="B5" s="28"/>
      <c r="C5" s="28"/>
      <c r="D5" s="28"/>
      <c r="E5" s="28"/>
      <c r="F5" s="28"/>
      <c r="G5" s="28"/>
      <c r="H5" s="29"/>
      <c r="I5" s="28"/>
      <c r="J5" s="28"/>
      <c r="K5" s="23"/>
      <c r="L5" s="23"/>
      <c r="M5" s="23"/>
      <c r="N5" s="30"/>
      <c r="O5" s="36">
        <f t="shared" si="0"/>
        <v>0</v>
      </c>
      <c r="P5" s="6"/>
      <c r="Q5" s="6"/>
      <c r="R5" s="6"/>
      <c r="S5" s="6"/>
      <c r="T5" s="6"/>
    </row>
    <row r="6" spans="1:20">
      <c r="A6" s="1" t="s">
        <v>19</v>
      </c>
      <c r="B6" s="32">
        <f>SUM(B2:B5)</f>
        <v>0</v>
      </c>
      <c r="C6" s="32">
        <f t="shared" ref="C6:N6" si="1">SUM(C2:C5)</f>
        <v>0</v>
      </c>
      <c r="D6" s="32">
        <f t="shared" si="1"/>
        <v>0</v>
      </c>
      <c r="E6" s="32">
        <f t="shared" si="1"/>
        <v>0</v>
      </c>
      <c r="F6" s="32">
        <f t="shared" si="1"/>
        <v>0</v>
      </c>
      <c r="G6" s="32">
        <f t="shared" si="1"/>
        <v>0</v>
      </c>
      <c r="H6" s="32">
        <f t="shared" si="1"/>
        <v>0</v>
      </c>
      <c r="I6" s="32">
        <f t="shared" si="1"/>
        <v>0</v>
      </c>
      <c r="J6" s="32">
        <f t="shared" si="1"/>
        <v>5885</v>
      </c>
      <c r="K6" s="32">
        <f t="shared" si="1"/>
        <v>5125</v>
      </c>
      <c r="L6" s="32">
        <f t="shared" si="1"/>
        <v>5040</v>
      </c>
      <c r="M6" s="32">
        <f t="shared" si="1"/>
        <v>9876</v>
      </c>
      <c r="N6" s="32">
        <f t="shared" si="1"/>
        <v>0</v>
      </c>
      <c r="O6" s="36">
        <f t="shared" si="0"/>
        <v>25926</v>
      </c>
      <c r="P6" s="6"/>
      <c r="Q6" s="6"/>
      <c r="R6" s="6"/>
      <c r="S6" s="6"/>
      <c r="T6" s="6"/>
    </row>
    <row r="7" spans="1:20">
      <c r="A7" s="6"/>
      <c r="B7" s="7"/>
      <c r="C7" s="7"/>
      <c r="D7" s="7"/>
      <c r="E7" s="7"/>
      <c r="F7" s="7"/>
      <c r="G7" s="7"/>
      <c r="H7" s="9"/>
      <c r="I7" s="7"/>
      <c r="J7" s="7"/>
      <c r="K7" s="7"/>
      <c r="L7" s="7"/>
      <c r="M7" s="7"/>
      <c r="N7" s="7"/>
      <c r="O7" s="10"/>
      <c r="P7" s="6"/>
      <c r="Q7" s="6"/>
      <c r="R7" s="6"/>
      <c r="S7" s="6"/>
      <c r="T7" s="6"/>
    </row>
    <row r="8" spans="1:20">
      <c r="A8" s="11" t="s">
        <v>20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3" t="s">
        <v>6</v>
      </c>
      <c r="H8" s="4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6"/>
      <c r="P8" s="6"/>
      <c r="Q8" s="6"/>
      <c r="R8" s="6"/>
      <c r="S8" s="6"/>
      <c r="T8" s="6"/>
    </row>
    <row r="9" spans="1:20">
      <c r="A9" s="8" t="s">
        <v>21</v>
      </c>
      <c r="B9" s="24"/>
      <c r="C9" s="24"/>
      <c r="D9" s="24"/>
      <c r="E9" s="24"/>
      <c r="F9" s="24"/>
      <c r="G9" s="24"/>
      <c r="H9" s="25"/>
      <c r="I9" s="24"/>
      <c r="J9" s="22">
        <v>87.38</v>
      </c>
      <c r="K9" s="22">
        <v>87.38</v>
      </c>
      <c r="L9" s="22">
        <v>87.38</v>
      </c>
      <c r="M9" s="22">
        <v>87.38</v>
      </c>
      <c r="N9" s="26"/>
      <c r="O9" s="27">
        <f>SUM(B9:N9)</f>
        <v>349.52</v>
      </c>
      <c r="P9" s="6"/>
      <c r="Q9" s="6"/>
      <c r="R9" s="6"/>
      <c r="S9" s="6"/>
      <c r="T9" s="6"/>
    </row>
    <row r="10" spans="1:20">
      <c r="A10" s="8" t="s">
        <v>22</v>
      </c>
      <c r="B10" s="28"/>
      <c r="C10" s="28"/>
      <c r="D10" s="28"/>
      <c r="E10" s="28"/>
      <c r="F10" s="28"/>
      <c r="G10" s="28"/>
      <c r="H10" s="29"/>
      <c r="I10" s="28"/>
      <c r="J10" s="23">
        <v>59</v>
      </c>
      <c r="K10" s="23"/>
      <c r="L10" s="23"/>
      <c r="M10" s="23"/>
      <c r="N10" s="26"/>
      <c r="O10" s="27">
        <f t="shared" ref="O10:O30" si="2">SUM(B10:N10)</f>
        <v>59</v>
      </c>
      <c r="P10" s="6"/>
      <c r="Q10" s="6"/>
      <c r="R10" s="6"/>
      <c r="S10" s="6"/>
      <c r="T10" s="6"/>
    </row>
    <row r="11" spans="1:20">
      <c r="A11" s="8" t="s">
        <v>23</v>
      </c>
      <c r="B11" s="24"/>
      <c r="C11" s="24"/>
      <c r="D11" s="24"/>
      <c r="E11" s="24"/>
      <c r="F11" s="24"/>
      <c r="G11" s="24"/>
      <c r="H11" s="25"/>
      <c r="I11" s="24"/>
      <c r="J11" s="22">
        <v>95.53</v>
      </c>
      <c r="K11" s="22">
        <v>95.53</v>
      </c>
      <c r="L11" s="22">
        <v>95.53</v>
      </c>
      <c r="M11" s="22">
        <v>95.53</v>
      </c>
      <c r="N11" s="26"/>
      <c r="O11" s="27">
        <f t="shared" si="2"/>
        <v>382.12</v>
      </c>
      <c r="P11" s="6"/>
      <c r="Q11" s="6"/>
      <c r="R11" s="6"/>
      <c r="S11" s="6"/>
      <c r="T11" s="6"/>
    </row>
    <row r="12" spans="1:20">
      <c r="A12" s="8" t="s">
        <v>24</v>
      </c>
      <c r="B12" s="24"/>
      <c r="C12" s="24"/>
      <c r="D12" s="24"/>
      <c r="E12" s="24"/>
      <c r="F12" s="24"/>
      <c r="G12" s="24"/>
      <c r="H12" s="25"/>
      <c r="I12" s="24"/>
      <c r="J12" s="22">
        <v>1200</v>
      </c>
      <c r="K12" s="22">
        <v>1200</v>
      </c>
      <c r="L12" s="22">
        <v>1200</v>
      </c>
      <c r="M12" s="22">
        <v>1200</v>
      </c>
      <c r="N12" s="26"/>
      <c r="O12" s="27">
        <f t="shared" si="2"/>
        <v>4800</v>
      </c>
      <c r="P12" s="6"/>
      <c r="Q12" s="6"/>
      <c r="R12" s="6"/>
      <c r="S12" s="6"/>
      <c r="T12" s="6"/>
    </row>
    <row r="13" spans="1:20">
      <c r="A13" s="8" t="s">
        <v>25</v>
      </c>
      <c r="B13" s="24"/>
      <c r="C13" s="24"/>
      <c r="D13" s="24"/>
      <c r="E13" s="24"/>
      <c r="F13" s="24"/>
      <c r="G13" s="24"/>
      <c r="H13" s="25"/>
      <c r="I13" s="24"/>
      <c r="J13" s="22">
        <v>500</v>
      </c>
      <c r="K13" s="22">
        <v>500</v>
      </c>
      <c r="L13" s="22">
        <v>500</v>
      </c>
      <c r="M13" s="22">
        <v>500</v>
      </c>
      <c r="N13" s="26"/>
      <c r="O13" s="27">
        <f t="shared" si="2"/>
        <v>2000</v>
      </c>
      <c r="P13" s="6"/>
      <c r="Q13" s="6"/>
      <c r="R13" s="6"/>
      <c r="S13" s="6"/>
      <c r="T13" s="6"/>
    </row>
    <row r="14" spans="1:20">
      <c r="A14" s="8" t="s">
        <v>26</v>
      </c>
      <c r="B14" s="24"/>
      <c r="C14" s="24"/>
      <c r="D14" s="24"/>
      <c r="E14" s="24"/>
      <c r="F14" s="24"/>
      <c r="G14" s="24"/>
      <c r="H14" s="25"/>
      <c r="I14" s="24"/>
      <c r="J14" s="22">
        <v>1580</v>
      </c>
      <c r="K14" s="22">
        <v>165</v>
      </c>
      <c r="L14" s="22">
        <v>165</v>
      </c>
      <c r="M14" s="22">
        <v>165</v>
      </c>
      <c r="N14" s="26"/>
      <c r="O14" s="27">
        <f t="shared" si="2"/>
        <v>2075</v>
      </c>
      <c r="P14" s="6"/>
      <c r="Q14" s="6"/>
      <c r="R14" s="6"/>
      <c r="S14" s="6"/>
      <c r="T14" s="6"/>
    </row>
    <row r="15" spans="1:20" ht="15">
      <c r="A15" s="8" t="s">
        <v>27</v>
      </c>
      <c r="B15" s="24"/>
      <c r="C15" s="24"/>
      <c r="D15" s="24"/>
      <c r="E15" s="24"/>
      <c r="F15" s="24"/>
      <c r="G15" s="24"/>
      <c r="H15" s="25"/>
      <c r="I15" s="24"/>
      <c r="J15" s="22">
        <v>650</v>
      </c>
      <c r="K15" s="22">
        <v>362</v>
      </c>
      <c r="L15" s="22">
        <v>362</v>
      </c>
      <c r="M15" s="22">
        <v>362</v>
      </c>
      <c r="N15" s="26"/>
      <c r="O15" s="27"/>
      <c r="P15" s="6"/>
      <c r="Q15" s="6"/>
      <c r="R15" s="6"/>
      <c r="S15" s="6"/>
      <c r="T15" s="6"/>
    </row>
    <row r="16" spans="1:20">
      <c r="A16" s="8" t="s">
        <v>28</v>
      </c>
      <c r="B16" s="24"/>
      <c r="C16" s="24"/>
      <c r="D16" s="24"/>
      <c r="E16" s="24"/>
      <c r="F16" s="24"/>
      <c r="G16" s="24"/>
      <c r="H16" s="25"/>
      <c r="I16" s="24"/>
      <c r="J16" s="22">
        <v>20</v>
      </c>
      <c r="K16" s="22">
        <v>20</v>
      </c>
      <c r="L16" s="22">
        <v>20</v>
      </c>
      <c r="M16" s="22">
        <v>20</v>
      </c>
      <c r="N16" s="26"/>
      <c r="O16" s="27">
        <f t="shared" si="2"/>
        <v>80</v>
      </c>
      <c r="P16" s="6"/>
      <c r="Q16" s="6"/>
      <c r="R16" s="6"/>
      <c r="S16" s="6"/>
      <c r="T16" s="6"/>
    </row>
    <row r="17" spans="1:20">
      <c r="A17" s="8" t="s">
        <v>29</v>
      </c>
      <c r="B17" s="24"/>
      <c r="C17" s="24"/>
      <c r="D17" s="24"/>
      <c r="E17" s="24"/>
      <c r="F17" s="24"/>
      <c r="G17" s="24"/>
      <c r="H17" s="25"/>
      <c r="I17" s="24"/>
      <c r="J17" s="22">
        <v>893</v>
      </c>
      <c r="K17" s="22">
        <v>493</v>
      </c>
      <c r="L17" s="22">
        <v>493</v>
      </c>
      <c r="M17" s="22">
        <v>493</v>
      </c>
      <c r="N17" s="30"/>
      <c r="O17" s="27">
        <f t="shared" si="2"/>
        <v>2372</v>
      </c>
      <c r="P17" s="8"/>
      <c r="Q17" s="8"/>
      <c r="R17" s="8"/>
      <c r="S17" s="8"/>
      <c r="T17" s="8"/>
    </row>
    <row r="18" spans="1:20">
      <c r="A18" s="8" t="s">
        <v>30</v>
      </c>
      <c r="B18" s="24"/>
      <c r="C18" s="24"/>
      <c r="D18" s="31"/>
      <c r="E18" s="24"/>
      <c r="F18" s="24"/>
      <c r="G18" s="24"/>
      <c r="H18" s="25"/>
      <c r="I18" s="24"/>
      <c r="J18" s="22">
        <v>839</v>
      </c>
      <c r="K18" s="22">
        <v>839</v>
      </c>
      <c r="L18" s="22">
        <v>839</v>
      </c>
      <c r="M18" s="22">
        <v>839</v>
      </c>
      <c r="N18" s="26"/>
      <c r="O18" s="27">
        <f t="shared" si="2"/>
        <v>3356</v>
      </c>
      <c r="P18" s="8"/>
      <c r="Q18" s="8"/>
      <c r="R18" s="8"/>
      <c r="S18" s="8"/>
      <c r="T18" s="8"/>
    </row>
    <row r="19" spans="1:20">
      <c r="A19" s="8" t="s">
        <v>31</v>
      </c>
      <c r="B19" s="24"/>
      <c r="C19" s="24"/>
      <c r="D19" s="24"/>
      <c r="E19" s="31"/>
      <c r="F19" s="24"/>
      <c r="G19" s="24"/>
      <c r="H19" s="25"/>
      <c r="I19" s="24"/>
      <c r="J19" s="22">
        <v>600</v>
      </c>
      <c r="K19" s="22">
        <v>400</v>
      </c>
      <c r="L19" s="22"/>
      <c r="M19" s="22"/>
      <c r="N19" s="26"/>
      <c r="O19" s="27">
        <f t="shared" si="2"/>
        <v>1000</v>
      </c>
      <c r="P19" s="8"/>
      <c r="Q19" s="12"/>
      <c r="R19" s="12"/>
      <c r="S19" s="13"/>
      <c r="T19" s="8"/>
    </row>
    <row r="20" spans="1:20">
      <c r="A20" s="6" t="s">
        <v>32</v>
      </c>
      <c r="B20" s="24"/>
      <c r="C20" s="24"/>
      <c r="D20" s="24"/>
      <c r="E20" s="24"/>
      <c r="F20" s="24"/>
      <c r="G20" s="24"/>
      <c r="H20" s="25"/>
      <c r="I20" s="24"/>
      <c r="J20" s="22">
        <v>110</v>
      </c>
      <c r="K20" s="22">
        <v>110</v>
      </c>
      <c r="L20" s="22">
        <v>110</v>
      </c>
      <c r="M20" s="22">
        <v>110</v>
      </c>
      <c r="N20" s="26"/>
      <c r="O20" s="27">
        <f t="shared" si="2"/>
        <v>440</v>
      </c>
      <c r="P20" s="8"/>
      <c r="Q20" s="8"/>
      <c r="R20" s="8"/>
      <c r="S20" s="14"/>
      <c r="T20" s="8"/>
    </row>
    <row r="21" spans="1:20">
      <c r="A21" s="6" t="s">
        <v>33</v>
      </c>
      <c r="B21" s="24"/>
      <c r="C21" s="24"/>
      <c r="D21" s="24"/>
      <c r="E21" s="24"/>
      <c r="F21" s="24"/>
      <c r="G21" s="24"/>
      <c r="H21" s="25"/>
      <c r="I21" s="24"/>
      <c r="J21" s="22">
        <v>70</v>
      </c>
      <c r="K21" s="22">
        <v>70</v>
      </c>
      <c r="L21" s="22">
        <v>70</v>
      </c>
      <c r="M21" s="22">
        <v>70</v>
      </c>
      <c r="N21" s="26"/>
      <c r="O21" s="27">
        <f t="shared" si="2"/>
        <v>280</v>
      </c>
      <c r="P21" s="8"/>
      <c r="Q21" s="8"/>
      <c r="R21" s="8"/>
      <c r="S21" s="14"/>
      <c r="T21" s="8"/>
    </row>
    <row r="22" spans="1:20">
      <c r="A22" s="6" t="s">
        <v>34</v>
      </c>
      <c r="B22" s="24"/>
      <c r="C22" s="24"/>
      <c r="D22" s="24"/>
      <c r="E22" s="24"/>
      <c r="F22" s="24"/>
      <c r="G22" s="24"/>
      <c r="H22" s="25"/>
      <c r="I22" s="24"/>
      <c r="J22" s="22">
        <v>354</v>
      </c>
      <c r="K22" s="22">
        <v>166.46</v>
      </c>
      <c r="L22" s="22">
        <v>92.08</v>
      </c>
      <c r="M22" s="22"/>
      <c r="N22" s="26"/>
      <c r="O22" s="27">
        <f t="shared" si="2"/>
        <v>612.54000000000008</v>
      </c>
      <c r="P22" s="8"/>
      <c r="Q22" s="8"/>
      <c r="R22" s="8"/>
      <c r="S22" s="14"/>
      <c r="T22" s="8"/>
    </row>
    <row r="23" spans="1:20">
      <c r="A23" s="6" t="s">
        <v>35</v>
      </c>
      <c r="B23" s="24"/>
      <c r="C23" s="24"/>
      <c r="D23" s="24"/>
      <c r="E23" s="24"/>
      <c r="F23" s="24"/>
      <c r="G23" s="24"/>
      <c r="H23" s="25"/>
      <c r="I23" s="24"/>
      <c r="J23" s="22">
        <v>1200</v>
      </c>
      <c r="K23" s="22">
        <v>1000</v>
      </c>
      <c r="L23" s="22">
        <v>1000</v>
      </c>
      <c r="M23" s="22">
        <v>1000</v>
      </c>
      <c r="N23" s="26"/>
      <c r="O23" s="27">
        <f t="shared" si="2"/>
        <v>4200</v>
      </c>
      <c r="P23" s="8"/>
      <c r="Q23" s="8"/>
      <c r="R23" s="8"/>
      <c r="S23" s="14"/>
      <c r="T23" s="8"/>
    </row>
    <row r="24" spans="1:20" ht="13.9" customHeight="1">
      <c r="A24" s="6"/>
      <c r="B24" s="24"/>
      <c r="C24" s="24"/>
      <c r="D24" s="24"/>
      <c r="E24" s="24"/>
      <c r="F24" s="24"/>
      <c r="G24" s="24"/>
      <c r="H24" s="25"/>
      <c r="I24" s="24"/>
      <c r="J24" s="22"/>
      <c r="K24" s="22"/>
      <c r="L24" s="22"/>
      <c r="M24" s="22"/>
      <c r="N24" s="26"/>
      <c r="O24" s="27">
        <f t="shared" si="2"/>
        <v>0</v>
      </c>
      <c r="P24" s="8"/>
      <c r="Q24" s="8"/>
      <c r="R24" s="8"/>
      <c r="S24" s="14"/>
      <c r="T24" s="8"/>
    </row>
    <row r="25" spans="1:20" ht="13.9" customHeight="1">
      <c r="A25" s="6" t="s">
        <v>36</v>
      </c>
      <c r="B25" s="24"/>
      <c r="C25" s="24"/>
      <c r="D25" s="24"/>
      <c r="E25" s="24"/>
      <c r="F25" s="24"/>
      <c r="G25" s="24"/>
      <c r="H25" s="25"/>
      <c r="I25" s="24"/>
      <c r="J25" s="22">
        <v>54</v>
      </c>
      <c r="K25" s="22">
        <v>54</v>
      </c>
      <c r="L25" s="22">
        <v>54</v>
      </c>
      <c r="M25" s="22">
        <v>54</v>
      </c>
      <c r="N25" s="26"/>
      <c r="O25" s="27">
        <f t="shared" si="2"/>
        <v>216</v>
      </c>
      <c r="P25" s="8"/>
      <c r="Q25" s="8"/>
      <c r="R25" s="8"/>
      <c r="S25" s="14"/>
      <c r="T25" s="8"/>
    </row>
    <row r="26" spans="1:20" ht="13.9" customHeight="1">
      <c r="A26" s="6" t="s">
        <v>37</v>
      </c>
      <c r="B26" s="24"/>
      <c r="C26" s="24"/>
      <c r="D26" s="24"/>
      <c r="E26" s="24"/>
      <c r="F26" s="24"/>
      <c r="G26" s="24"/>
      <c r="H26" s="25"/>
      <c r="I26" s="24"/>
      <c r="J26" s="22">
        <v>55</v>
      </c>
      <c r="K26" s="22">
        <v>55</v>
      </c>
      <c r="L26" s="22">
        <v>55</v>
      </c>
      <c r="M26" s="22">
        <v>55</v>
      </c>
      <c r="N26" s="26"/>
      <c r="O26" s="27">
        <f t="shared" si="2"/>
        <v>220</v>
      </c>
      <c r="P26" s="8"/>
      <c r="Q26" s="8"/>
      <c r="R26" s="8"/>
      <c r="S26" s="14"/>
      <c r="T26" s="8"/>
    </row>
    <row r="27" spans="1:20" ht="13.9" customHeight="1">
      <c r="A27" s="6" t="s">
        <v>38</v>
      </c>
      <c r="B27" s="24"/>
      <c r="C27" s="24"/>
      <c r="D27" s="24"/>
      <c r="E27" s="24"/>
      <c r="F27" s="24"/>
      <c r="G27" s="24"/>
      <c r="H27" s="25"/>
      <c r="I27" s="24"/>
      <c r="J27" s="22">
        <v>55</v>
      </c>
      <c r="K27" s="22">
        <v>55</v>
      </c>
      <c r="L27" s="22">
        <v>55</v>
      </c>
      <c r="M27" s="22">
        <v>55</v>
      </c>
      <c r="N27" s="26"/>
      <c r="O27" s="27">
        <f t="shared" si="2"/>
        <v>220</v>
      </c>
      <c r="P27" s="8"/>
      <c r="Q27" s="8"/>
      <c r="R27" s="8"/>
      <c r="S27" s="14"/>
      <c r="T27" s="8"/>
    </row>
    <row r="28" spans="1:20" ht="13.9" customHeight="1">
      <c r="A28" s="6" t="s">
        <v>39</v>
      </c>
      <c r="B28" s="24"/>
      <c r="C28" s="24"/>
      <c r="D28" s="24"/>
      <c r="E28" s="24"/>
      <c r="F28" s="24"/>
      <c r="G28" s="24"/>
      <c r="H28" s="25"/>
      <c r="I28" s="24"/>
      <c r="J28" s="22">
        <v>55</v>
      </c>
      <c r="K28" s="22">
        <v>55</v>
      </c>
      <c r="L28" s="22">
        <v>55</v>
      </c>
      <c r="M28" s="22">
        <v>55</v>
      </c>
      <c r="N28" s="26"/>
      <c r="O28" s="27">
        <f t="shared" si="2"/>
        <v>220</v>
      </c>
      <c r="P28" s="8"/>
      <c r="Q28" s="8"/>
      <c r="R28" s="8"/>
      <c r="S28" s="14"/>
      <c r="T28" s="8"/>
    </row>
    <row r="29" spans="1:20" ht="13.9" customHeight="1">
      <c r="A29" s="6"/>
      <c r="B29" s="24"/>
      <c r="C29" s="24"/>
      <c r="D29" s="24"/>
      <c r="E29" s="24"/>
      <c r="F29" s="24"/>
      <c r="G29" s="24"/>
      <c r="H29" s="25"/>
      <c r="I29" s="24"/>
      <c r="J29" s="22"/>
      <c r="K29" s="22"/>
      <c r="L29" s="22"/>
      <c r="M29" s="22"/>
      <c r="N29" s="26"/>
      <c r="O29" s="27">
        <f t="shared" si="2"/>
        <v>0</v>
      </c>
      <c r="P29" s="8"/>
      <c r="Q29" s="8"/>
      <c r="R29" s="8"/>
      <c r="S29" s="14"/>
      <c r="T29" s="8"/>
    </row>
    <row r="30" spans="1:20">
      <c r="A30" s="8" t="s">
        <v>40</v>
      </c>
      <c r="B30" s="24"/>
      <c r="C30" s="24"/>
      <c r="D30" s="24"/>
      <c r="E30" s="24"/>
      <c r="F30" s="28"/>
      <c r="G30" s="28"/>
      <c r="H30" s="29"/>
      <c r="I30" s="28"/>
      <c r="J30" s="22">
        <v>77</v>
      </c>
      <c r="K30" s="22"/>
      <c r="L30" s="22"/>
      <c r="M30" s="22"/>
      <c r="N30" s="26"/>
      <c r="O30" s="27">
        <f t="shared" si="2"/>
        <v>77</v>
      </c>
      <c r="P30" s="8"/>
      <c r="Q30" s="8"/>
      <c r="R30" s="8"/>
      <c r="S30" s="14"/>
      <c r="T30" s="8"/>
    </row>
    <row r="31" spans="1:20">
      <c r="A31" s="15" t="s">
        <v>41</v>
      </c>
      <c r="B31" s="32">
        <f t="shared" ref="B31:O31" si="3">SUM(B9:B30)</f>
        <v>0</v>
      </c>
      <c r="C31" s="32">
        <f t="shared" si="3"/>
        <v>0</v>
      </c>
      <c r="D31" s="32">
        <f t="shared" si="3"/>
        <v>0</v>
      </c>
      <c r="E31" s="32">
        <f t="shared" si="3"/>
        <v>0</v>
      </c>
      <c r="F31" s="32">
        <f t="shared" si="3"/>
        <v>0</v>
      </c>
      <c r="G31" s="32">
        <f t="shared" si="3"/>
        <v>0</v>
      </c>
      <c r="H31" s="32">
        <f t="shared" si="3"/>
        <v>0</v>
      </c>
      <c r="I31" s="32">
        <f t="shared" si="3"/>
        <v>0</v>
      </c>
      <c r="J31" s="32">
        <f t="shared" si="3"/>
        <v>8553.91</v>
      </c>
      <c r="K31" s="32">
        <f t="shared" si="3"/>
        <v>5727.37</v>
      </c>
      <c r="L31" s="32">
        <f t="shared" si="3"/>
        <v>5252.99</v>
      </c>
      <c r="M31" s="32">
        <f t="shared" si="3"/>
        <v>5160.91</v>
      </c>
      <c r="N31" s="32">
        <f t="shared" si="3"/>
        <v>0</v>
      </c>
      <c r="O31" s="32">
        <f t="shared" si="3"/>
        <v>22959.18</v>
      </c>
      <c r="P31" s="6"/>
      <c r="Q31" s="6"/>
      <c r="R31" s="8"/>
      <c r="S31" s="14"/>
      <c r="T31" s="8"/>
    </row>
    <row r="32" spans="1:20">
      <c r="A32" s="6"/>
      <c r="B32" s="26"/>
      <c r="C32" s="26"/>
      <c r="D32" s="26"/>
      <c r="E32" s="26"/>
      <c r="F32" s="26"/>
      <c r="G32" s="26"/>
      <c r="H32" s="40"/>
      <c r="I32" s="26"/>
      <c r="J32" s="26"/>
      <c r="K32" s="26"/>
      <c r="L32" s="26"/>
      <c r="M32" s="26"/>
      <c r="N32" s="26"/>
      <c r="O32" s="41" t="s">
        <v>42</v>
      </c>
      <c r="P32" s="6"/>
      <c r="Q32" s="6"/>
      <c r="R32" s="8"/>
      <c r="S32" s="14"/>
      <c r="T32" s="8"/>
    </row>
    <row r="33" spans="1:20">
      <c r="A33" s="1" t="s">
        <v>43</v>
      </c>
      <c r="B33" s="42">
        <f>SUM(B6-B31)</f>
        <v>0</v>
      </c>
      <c r="C33" s="42">
        <f t="shared" ref="C33:N33" si="4">SUM(C6-C31)</f>
        <v>0</v>
      </c>
      <c r="D33" s="42">
        <f t="shared" si="4"/>
        <v>0</v>
      </c>
      <c r="E33" s="42">
        <f t="shared" si="4"/>
        <v>0</v>
      </c>
      <c r="F33" s="42">
        <f t="shared" si="4"/>
        <v>0</v>
      </c>
      <c r="G33" s="42">
        <f t="shared" si="4"/>
        <v>0</v>
      </c>
      <c r="H33" s="42">
        <f t="shared" si="4"/>
        <v>0</v>
      </c>
      <c r="I33" s="42">
        <f t="shared" si="4"/>
        <v>0</v>
      </c>
      <c r="J33" s="42">
        <f t="shared" si="4"/>
        <v>-2668.91</v>
      </c>
      <c r="K33" s="42">
        <f t="shared" si="4"/>
        <v>-602.36999999999989</v>
      </c>
      <c r="L33" s="42">
        <f t="shared" si="4"/>
        <v>-212.98999999999978</v>
      </c>
      <c r="M33" s="42">
        <f t="shared" si="4"/>
        <v>4715.09</v>
      </c>
      <c r="N33" s="42">
        <f t="shared" si="4"/>
        <v>0</v>
      </c>
      <c r="O33" s="26">
        <f>SUM(O6-O31)</f>
        <v>2966.8199999999997</v>
      </c>
      <c r="P33" s="6"/>
      <c r="Q33" s="6"/>
      <c r="R33" s="8"/>
      <c r="S33" s="14"/>
      <c r="T33" s="8"/>
    </row>
    <row r="34" spans="1:20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6"/>
      <c r="Q34" s="6"/>
      <c r="R34" s="8"/>
      <c r="S34" s="14"/>
      <c r="T34" s="8"/>
    </row>
    <row r="35" spans="1:20">
      <c r="A35" s="19" t="s">
        <v>44</v>
      </c>
      <c r="B35" s="44">
        <f t="shared" ref="B35:L35" si="5">B6*30%</f>
        <v>0</v>
      </c>
      <c r="C35" s="44">
        <f t="shared" si="5"/>
        <v>0</v>
      </c>
      <c r="D35" s="44">
        <f t="shared" si="5"/>
        <v>0</v>
      </c>
      <c r="E35" s="44">
        <f t="shared" si="5"/>
        <v>0</v>
      </c>
      <c r="F35" s="44">
        <f t="shared" si="5"/>
        <v>0</v>
      </c>
      <c r="G35" s="44">
        <f t="shared" si="5"/>
        <v>0</v>
      </c>
      <c r="H35" s="44">
        <f t="shared" si="5"/>
        <v>0</v>
      </c>
      <c r="I35" s="44">
        <f t="shared" si="5"/>
        <v>0</v>
      </c>
      <c r="J35" s="44">
        <f t="shared" si="5"/>
        <v>1765.5</v>
      </c>
      <c r="K35" s="44">
        <f t="shared" si="5"/>
        <v>1537.5</v>
      </c>
      <c r="L35" s="44">
        <f t="shared" si="5"/>
        <v>1512</v>
      </c>
      <c r="M35" s="44">
        <f>M6*30%</f>
        <v>2962.7999999999997</v>
      </c>
      <c r="N35" s="44">
        <f>N6*30%</f>
        <v>0</v>
      </c>
      <c r="O35" s="45">
        <f>SUM(B35:N35)</f>
        <v>7777.7999999999993</v>
      </c>
      <c r="P35" s="6"/>
      <c r="Q35" s="6"/>
      <c r="R35" s="8"/>
      <c r="S35" s="14"/>
      <c r="T35" s="8"/>
    </row>
    <row r="36" spans="1:20">
      <c r="A36" s="8"/>
      <c r="B36" s="8"/>
      <c r="C36" s="18"/>
      <c r="D36" s="8"/>
      <c r="E36" s="18"/>
      <c r="F36" s="18"/>
      <c r="G36" s="8"/>
      <c r="H36" s="8"/>
      <c r="I36" s="8"/>
      <c r="J36" s="8"/>
      <c r="K36" s="18"/>
      <c r="L36" s="18"/>
      <c r="M36" s="18"/>
      <c r="N36" s="6"/>
      <c r="O36" s="8"/>
      <c r="P36" s="8"/>
      <c r="Q36" s="8"/>
      <c r="R36" s="8"/>
      <c r="S36" s="14"/>
      <c r="T36" s="8"/>
    </row>
    <row r="37" spans="1:20">
      <c r="A37" s="8"/>
      <c r="B37" s="18"/>
      <c r="C37" s="18"/>
      <c r="D37" s="8"/>
      <c r="E37" s="18"/>
      <c r="F37" s="18"/>
      <c r="G37" s="18"/>
      <c r="H37" s="8"/>
      <c r="I37" s="18"/>
      <c r="J37" s="18"/>
      <c r="K37" s="8"/>
      <c r="L37" s="18"/>
      <c r="M37" s="18"/>
      <c r="N37" s="6"/>
      <c r="O37" s="8"/>
      <c r="P37" s="8"/>
      <c r="Q37" s="8"/>
      <c r="R37" s="8"/>
      <c r="S37" s="14"/>
      <c r="T37" s="8"/>
    </row>
    <row r="38" spans="1:20">
      <c r="A38" s="8"/>
      <c r="B38" s="18"/>
      <c r="C38" s="18"/>
      <c r="D38" s="18"/>
      <c r="E38" s="18"/>
      <c r="F38" s="18"/>
      <c r="G38" s="8"/>
      <c r="H38" s="8"/>
      <c r="I38" s="8"/>
      <c r="J38" s="18"/>
      <c r="K38" s="18"/>
      <c r="L38" s="18"/>
      <c r="M38" s="18"/>
      <c r="N38" s="6"/>
      <c r="O38" s="8"/>
      <c r="P38" s="6"/>
      <c r="Q38" s="6"/>
      <c r="R38" s="6"/>
      <c r="S38" s="6"/>
      <c r="T38" s="6"/>
    </row>
    <row r="39" spans="1:20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6"/>
      <c r="O39" s="8"/>
      <c r="P39" s="6"/>
      <c r="Q39" s="6"/>
      <c r="R39" s="6"/>
      <c r="S39" s="6"/>
      <c r="T39" s="6"/>
    </row>
    <row r="40" spans="1:2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6"/>
      <c r="O40" s="8"/>
      <c r="P40" s="6"/>
      <c r="Q40" s="6"/>
      <c r="R40" s="6"/>
      <c r="S40" s="6"/>
      <c r="T40" s="6"/>
    </row>
    <row r="41" spans="1:20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6"/>
      <c r="O41" s="8"/>
      <c r="P41" s="6"/>
      <c r="Q41" s="6"/>
      <c r="R41" s="6"/>
      <c r="S41" s="6"/>
      <c r="T41" s="6"/>
    </row>
    <row r="42" spans="1:20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6"/>
      <c r="Q48" s="6"/>
      <c r="R48" s="6"/>
      <c r="S48" s="6"/>
      <c r="T48" s="6"/>
    </row>
    <row r="49" spans="1:20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6"/>
      <c r="Q49" s="6"/>
      <c r="R49" s="6"/>
      <c r="S49" s="6"/>
      <c r="T49" s="6"/>
    </row>
    <row r="50" spans="1:2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6"/>
      <c r="Q50" s="6"/>
      <c r="R50" s="6"/>
      <c r="S50" s="6"/>
      <c r="T50" s="6"/>
    </row>
    <row r="51" spans="1:20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6"/>
      <c r="Q51" s="6"/>
      <c r="R51" s="6"/>
      <c r="S51" s="6"/>
      <c r="T51" s="6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1"/>
  <sheetViews>
    <sheetView workbookViewId="0">
      <selection activeCell="I12" sqref="I12"/>
    </sheetView>
  </sheetViews>
  <sheetFormatPr defaultRowHeight="14.45"/>
  <cols>
    <col min="1" max="1" width="19.85546875" bestFit="1" customWidth="1"/>
    <col min="2" max="9" width="12.42578125" bestFit="1" customWidth="1"/>
    <col min="10" max="10" width="12.7109375" bestFit="1" customWidth="1"/>
    <col min="11" max="13" width="12.5703125" bestFit="1" customWidth="1"/>
    <col min="15" max="15" width="13.7109375" bestFit="1" customWidth="1"/>
  </cols>
  <sheetData>
    <row r="1" spans="1:20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0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" t="s">
        <v>13</v>
      </c>
      <c r="O1" s="5" t="s">
        <v>14</v>
      </c>
      <c r="P1" s="6"/>
      <c r="Q1" s="6"/>
      <c r="R1" s="6"/>
      <c r="S1" s="6"/>
      <c r="T1" s="6"/>
    </row>
    <row r="2" spans="1:20" ht="15">
      <c r="A2" s="6" t="s">
        <v>15</v>
      </c>
      <c r="B2" s="28">
        <v>3500</v>
      </c>
      <c r="C2" s="28">
        <v>3500</v>
      </c>
      <c r="D2" s="28">
        <v>3500</v>
      </c>
      <c r="E2" s="28">
        <v>3500</v>
      </c>
      <c r="F2" s="28">
        <v>3500</v>
      </c>
      <c r="G2" s="28">
        <v>3500</v>
      </c>
      <c r="H2" s="33">
        <v>3500</v>
      </c>
      <c r="I2" s="34">
        <v>3500</v>
      </c>
      <c r="J2" s="34">
        <v>3500</v>
      </c>
      <c r="K2" s="35">
        <v>3500</v>
      </c>
      <c r="L2" s="35">
        <v>3500</v>
      </c>
      <c r="M2" s="35">
        <v>6876</v>
      </c>
      <c r="N2" s="26"/>
      <c r="O2" s="36">
        <f>SUM(B2:N2)</f>
        <v>45376</v>
      </c>
      <c r="P2" s="6"/>
      <c r="Q2" s="6"/>
      <c r="R2" s="6"/>
      <c r="S2" s="6"/>
      <c r="T2" s="6"/>
    </row>
    <row r="3" spans="1:20" ht="15">
      <c r="A3" s="6" t="s">
        <v>16</v>
      </c>
      <c r="B3" s="28">
        <v>1600</v>
      </c>
      <c r="C3" s="28">
        <v>1600</v>
      </c>
      <c r="D3" s="28">
        <v>1600</v>
      </c>
      <c r="E3" s="28">
        <v>1600</v>
      </c>
      <c r="F3" s="28">
        <v>1600</v>
      </c>
      <c r="G3" s="28">
        <v>1600</v>
      </c>
      <c r="H3" s="37">
        <v>1600</v>
      </c>
      <c r="I3" s="38">
        <v>1600</v>
      </c>
      <c r="J3" s="38">
        <v>1600</v>
      </c>
      <c r="K3" s="39">
        <v>1600</v>
      </c>
      <c r="L3" s="39">
        <v>1600</v>
      </c>
      <c r="M3" s="39">
        <v>3000</v>
      </c>
      <c r="N3" s="30"/>
      <c r="O3" s="36">
        <f t="shared" ref="O3:O6" si="0">SUM(B3:N3)</f>
        <v>20600</v>
      </c>
      <c r="P3" s="6"/>
      <c r="Q3" s="6"/>
      <c r="R3" s="6"/>
      <c r="S3" s="6"/>
      <c r="T3" s="6"/>
    </row>
    <row r="4" spans="1:20" ht="15">
      <c r="B4" s="28"/>
      <c r="C4" s="28"/>
      <c r="D4" s="28"/>
      <c r="E4" s="28"/>
      <c r="F4" s="28"/>
      <c r="G4" s="28"/>
      <c r="H4" s="37"/>
      <c r="I4" s="28"/>
      <c r="J4" s="28"/>
      <c r="K4" s="23"/>
      <c r="L4" s="23"/>
      <c r="M4" s="23"/>
      <c r="N4" s="30"/>
      <c r="O4" s="36">
        <f t="shared" si="0"/>
        <v>0</v>
      </c>
      <c r="P4" s="6"/>
      <c r="Q4" s="6"/>
      <c r="R4" s="6"/>
      <c r="S4" s="6"/>
      <c r="T4" s="6"/>
    </row>
    <row r="5" spans="1:20" ht="15">
      <c r="A5" s="43"/>
      <c r="B5" s="28"/>
      <c r="C5" s="28"/>
      <c r="D5" s="28"/>
      <c r="E5" s="28"/>
      <c r="F5" s="28"/>
      <c r="G5" s="28"/>
      <c r="H5" s="29"/>
      <c r="I5" s="28"/>
      <c r="J5" s="28"/>
      <c r="K5" s="23"/>
      <c r="L5" s="23"/>
      <c r="M5" s="23"/>
      <c r="N5" s="30"/>
      <c r="O5" s="36">
        <f t="shared" si="0"/>
        <v>0</v>
      </c>
      <c r="P5" s="6"/>
      <c r="Q5" s="6"/>
      <c r="R5" s="6"/>
      <c r="S5" s="6"/>
      <c r="T5" s="6"/>
    </row>
    <row r="6" spans="1:20" ht="15">
      <c r="A6" s="1" t="s">
        <v>19</v>
      </c>
      <c r="B6" s="32">
        <f>SUM(B2:B5)</f>
        <v>5100</v>
      </c>
      <c r="C6" s="32">
        <f t="shared" ref="C6:N6" si="1">SUM(C2:C5)</f>
        <v>5100</v>
      </c>
      <c r="D6" s="32">
        <f t="shared" si="1"/>
        <v>5100</v>
      </c>
      <c r="E6" s="32">
        <f t="shared" si="1"/>
        <v>5100</v>
      </c>
      <c r="F6" s="32">
        <f t="shared" si="1"/>
        <v>5100</v>
      </c>
      <c r="G6" s="32">
        <f t="shared" si="1"/>
        <v>5100</v>
      </c>
      <c r="H6" s="32">
        <f t="shared" si="1"/>
        <v>5100</v>
      </c>
      <c r="I6" s="32">
        <f t="shared" si="1"/>
        <v>5100</v>
      </c>
      <c r="J6" s="32">
        <f t="shared" si="1"/>
        <v>5100</v>
      </c>
      <c r="K6" s="32">
        <f t="shared" si="1"/>
        <v>5100</v>
      </c>
      <c r="L6" s="32">
        <f t="shared" si="1"/>
        <v>5100</v>
      </c>
      <c r="M6" s="32">
        <f t="shared" si="1"/>
        <v>9876</v>
      </c>
      <c r="N6" s="32">
        <f t="shared" si="1"/>
        <v>0</v>
      </c>
      <c r="O6" s="36">
        <f t="shared" si="0"/>
        <v>65976</v>
      </c>
      <c r="P6" s="6"/>
      <c r="Q6" s="6"/>
      <c r="R6" s="6"/>
      <c r="S6" s="6"/>
      <c r="T6" s="6"/>
    </row>
    <row r="7" spans="1:20" ht="15">
      <c r="A7" s="6"/>
      <c r="B7" s="7"/>
      <c r="C7" s="7"/>
      <c r="D7" s="7"/>
      <c r="E7" s="7"/>
      <c r="F7" s="7"/>
      <c r="G7" s="7"/>
      <c r="H7" s="9"/>
      <c r="I7" s="7"/>
      <c r="J7" s="7"/>
      <c r="K7" s="7"/>
      <c r="L7" s="7"/>
      <c r="M7" s="7"/>
      <c r="N7" s="7"/>
      <c r="O7" s="10"/>
      <c r="P7" s="6"/>
      <c r="Q7" s="6"/>
      <c r="R7" s="6"/>
      <c r="S7" s="6"/>
      <c r="T7" s="6"/>
    </row>
    <row r="8" spans="1:20" ht="15">
      <c r="A8" s="11" t="s">
        <v>20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3" t="s">
        <v>6</v>
      </c>
      <c r="H8" s="4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6"/>
      <c r="P8" s="6"/>
      <c r="Q8" s="6"/>
      <c r="R8" s="6"/>
      <c r="S8" s="6"/>
      <c r="T8" s="6"/>
    </row>
    <row r="9" spans="1:20" ht="15">
      <c r="A9" s="8" t="s">
        <v>21</v>
      </c>
      <c r="B9" s="24">
        <v>87.38</v>
      </c>
      <c r="C9" s="24">
        <v>87.38</v>
      </c>
      <c r="D9" s="24">
        <v>87.38</v>
      </c>
      <c r="E9" s="24">
        <v>87.38</v>
      </c>
      <c r="F9" s="24">
        <v>87.38</v>
      </c>
      <c r="G9" s="24">
        <v>87.38</v>
      </c>
      <c r="H9" s="25">
        <v>87.38</v>
      </c>
      <c r="I9" s="24">
        <v>87.38</v>
      </c>
      <c r="J9" s="22">
        <v>87.38</v>
      </c>
      <c r="K9" s="22">
        <v>87.38</v>
      </c>
      <c r="L9" s="22">
        <v>87.38</v>
      </c>
      <c r="M9" s="22">
        <v>87.38</v>
      </c>
      <c r="N9" s="26"/>
      <c r="O9" s="27">
        <f>SUM(B9:N9)</f>
        <v>1048.56</v>
      </c>
      <c r="P9" s="6"/>
      <c r="Q9" s="6"/>
      <c r="R9" s="6"/>
      <c r="S9" s="6"/>
      <c r="T9" s="6"/>
    </row>
    <row r="10" spans="1:20" ht="15">
      <c r="A10" s="8" t="s">
        <v>22</v>
      </c>
      <c r="B10" s="28"/>
      <c r="C10" s="28"/>
      <c r="D10" s="28"/>
      <c r="E10" s="28"/>
      <c r="F10" s="28"/>
      <c r="G10" s="28"/>
      <c r="H10" s="29"/>
      <c r="I10" s="28"/>
      <c r="J10" s="23"/>
      <c r="K10" s="23"/>
      <c r="L10" s="23"/>
      <c r="M10" s="23"/>
      <c r="N10" s="26"/>
      <c r="O10" s="27">
        <f t="shared" ref="O10:O30" si="2">SUM(B10:N10)</f>
        <v>0</v>
      </c>
      <c r="P10" s="6"/>
      <c r="Q10" s="6"/>
      <c r="R10" s="6"/>
      <c r="S10" s="6"/>
      <c r="T10" s="6"/>
    </row>
    <row r="11" spans="1:20" ht="15">
      <c r="A11" s="8" t="s">
        <v>23</v>
      </c>
      <c r="B11" s="24">
        <v>95.53</v>
      </c>
      <c r="C11" s="24">
        <v>95.53</v>
      </c>
      <c r="D11" s="24">
        <v>95.53</v>
      </c>
      <c r="E11" s="24">
        <v>95.53</v>
      </c>
      <c r="F11" s="24">
        <v>95.53</v>
      </c>
      <c r="G11" s="24">
        <v>95.53</v>
      </c>
      <c r="H11" s="25">
        <v>95.53</v>
      </c>
      <c r="I11" s="24">
        <v>95.53</v>
      </c>
      <c r="J11" s="22">
        <v>95.53</v>
      </c>
      <c r="K11" s="22">
        <v>95.53</v>
      </c>
      <c r="L11" s="22">
        <v>95.53</v>
      </c>
      <c r="M11" s="22">
        <v>95.53</v>
      </c>
      <c r="N11" s="26"/>
      <c r="O11" s="27">
        <f t="shared" si="2"/>
        <v>1146.3599999999999</v>
      </c>
      <c r="P11" s="6"/>
      <c r="Q11" s="6"/>
      <c r="R11" s="6"/>
      <c r="S11" s="6"/>
      <c r="T11" s="6"/>
    </row>
    <row r="12" spans="1:20" ht="15">
      <c r="A12" s="8" t="s">
        <v>24</v>
      </c>
      <c r="B12" s="24">
        <v>1200</v>
      </c>
      <c r="C12" s="24">
        <v>1200</v>
      </c>
      <c r="D12" s="24">
        <v>1200</v>
      </c>
      <c r="E12" s="24">
        <v>1200</v>
      </c>
      <c r="F12" s="24">
        <v>1200</v>
      </c>
      <c r="G12" s="24">
        <v>1200</v>
      </c>
      <c r="H12" s="25">
        <v>1200</v>
      </c>
      <c r="I12" s="24">
        <v>1200</v>
      </c>
      <c r="J12" s="22">
        <v>1200</v>
      </c>
      <c r="K12" s="22">
        <v>1200</v>
      </c>
      <c r="L12" s="22">
        <v>1200</v>
      </c>
      <c r="M12" s="22">
        <v>1200</v>
      </c>
      <c r="N12" s="26"/>
      <c r="O12" s="27">
        <f t="shared" si="2"/>
        <v>14400</v>
      </c>
      <c r="P12" s="6"/>
      <c r="Q12" s="6"/>
      <c r="R12" s="6"/>
      <c r="S12" s="6"/>
      <c r="T12" s="6"/>
    </row>
    <row r="13" spans="1:20" ht="15">
      <c r="A13" s="8" t="s">
        <v>25</v>
      </c>
      <c r="B13" s="24">
        <v>500</v>
      </c>
      <c r="C13" s="24">
        <v>500</v>
      </c>
      <c r="D13" s="24">
        <v>500</v>
      </c>
      <c r="E13" s="24">
        <v>500</v>
      </c>
      <c r="F13" s="24">
        <v>500</v>
      </c>
      <c r="G13" s="24">
        <v>500</v>
      </c>
      <c r="H13" s="25">
        <v>500</v>
      </c>
      <c r="I13" s="24">
        <v>500</v>
      </c>
      <c r="J13" s="22">
        <v>500</v>
      </c>
      <c r="K13" s="22">
        <v>500</v>
      </c>
      <c r="L13" s="22">
        <v>500</v>
      </c>
      <c r="M13" s="22">
        <v>500</v>
      </c>
      <c r="N13" s="26"/>
      <c r="O13" s="27">
        <f t="shared" si="2"/>
        <v>6000</v>
      </c>
      <c r="P13" s="6"/>
      <c r="Q13" s="6"/>
      <c r="R13" s="6"/>
      <c r="S13" s="6"/>
      <c r="T13" s="6"/>
    </row>
    <row r="14" spans="1:20" ht="15">
      <c r="A14" s="8" t="s">
        <v>26</v>
      </c>
      <c r="B14" s="24"/>
      <c r="C14" s="24"/>
      <c r="D14" s="24"/>
      <c r="E14" s="24"/>
      <c r="F14" s="24"/>
      <c r="G14" s="24"/>
      <c r="H14" s="25"/>
      <c r="I14" s="24"/>
      <c r="J14" s="22"/>
      <c r="K14" s="22"/>
      <c r="L14" s="22"/>
      <c r="M14" s="22"/>
      <c r="N14" s="26"/>
      <c r="O14" s="27">
        <f t="shared" si="2"/>
        <v>0</v>
      </c>
      <c r="P14" s="6"/>
      <c r="Q14" s="6"/>
      <c r="R14" s="6"/>
      <c r="S14" s="6"/>
      <c r="T14" s="6"/>
    </row>
    <row r="15" spans="1:20" ht="15">
      <c r="A15" s="8" t="s">
        <v>27</v>
      </c>
      <c r="B15" s="24"/>
      <c r="C15" s="24"/>
      <c r="D15" s="24"/>
      <c r="E15" s="24"/>
      <c r="F15" s="24"/>
      <c r="G15" s="24"/>
      <c r="H15" s="25"/>
      <c r="I15" s="24"/>
      <c r="J15" s="22"/>
      <c r="K15" s="22"/>
      <c r="L15" s="22"/>
      <c r="M15" s="22"/>
      <c r="N15" s="26"/>
      <c r="O15" s="27"/>
      <c r="P15" s="6"/>
      <c r="Q15" s="6"/>
      <c r="R15" s="6"/>
      <c r="S15" s="6"/>
      <c r="T15" s="6"/>
    </row>
    <row r="16" spans="1:20" ht="15">
      <c r="A16" s="8" t="s">
        <v>28</v>
      </c>
      <c r="B16" s="24">
        <v>20</v>
      </c>
      <c r="C16" s="24">
        <v>20</v>
      </c>
      <c r="D16" s="24">
        <v>20</v>
      </c>
      <c r="E16" s="24">
        <v>20</v>
      </c>
      <c r="F16" s="24">
        <v>20</v>
      </c>
      <c r="G16" s="24">
        <v>20</v>
      </c>
      <c r="H16" s="25">
        <v>20</v>
      </c>
      <c r="I16" s="24">
        <v>20</v>
      </c>
      <c r="J16" s="22">
        <v>20</v>
      </c>
      <c r="K16" s="22">
        <v>20</v>
      </c>
      <c r="L16" s="22">
        <v>20</v>
      </c>
      <c r="M16" s="22">
        <v>20</v>
      </c>
      <c r="N16" s="26"/>
      <c r="O16" s="27">
        <f t="shared" si="2"/>
        <v>240</v>
      </c>
      <c r="P16" s="6"/>
      <c r="Q16" s="6"/>
      <c r="R16" s="6"/>
      <c r="S16" s="6"/>
      <c r="T16" s="6"/>
    </row>
    <row r="17" spans="1:20" ht="15">
      <c r="A17" s="8" t="s">
        <v>29</v>
      </c>
      <c r="B17" s="24"/>
      <c r="C17" s="24"/>
      <c r="D17" s="24"/>
      <c r="E17" s="24"/>
      <c r="F17" s="24"/>
      <c r="G17" s="24"/>
      <c r="H17" s="25"/>
      <c r="I17" s="24"/>
      <c r="J17" s="22"/>
      <c r="K17" s="22"/>
      <c r="L17" s="22"/>
      <c r="M17" s="22"/>
      <c r="N17" s="30"/>
      <c r="O17" s="27">
        <f t="shared" si="2"/>
        <v>0</v>
      </c>
      <c r="P17" s="8"/>
      <c r="Q17" s="8"/>
      <c r="R17" s="8"/>
      <c r="S17" s="8"/>
      <c r="T17" s="8"/>
    </row>
    <row r="18" spans="1:20" ht="15">
      <c r="A18" s="8" t="s">
        <v>30</v>
      </c>
      <c r="B18" s="24">
        <v>839</v>
      </c>
      <c r="C18" s="24">
        <v>839</v>
      </c>
      <c r="D18" s="31">
        <v>839</v>
      </c>
      <c r="E18" s="24">
        <v>839</v>
      </c>
      <c r="F18" s="24">
        <v>839</v>
      </c>
      <c r="G18" s="24">
        <v>839</v>
      </c>
      <c r="H18" s="25">
        <v>839</v>
      </c>
      <c r="I18" s="24">
        <v>839</v>
      </c>
      <c r="J18" s="22">
        <v>839</v>
      </c>
      <c r="K18" s="22">
        <v>839</v>
      </c>
      <c r="L18" s="22">
        <v>839</v>
      </c>
      <c r="M18" s="22">
        <v>839</v>
      </c>
      <c r="N18" s="26"/>
      <c r="O18" s="27">
        <f t="shared" si="2"/>
        <v>10068</v>
      </c>
      <c r="P18" s="8"/>
      <c r="Q18" s="8"/>
      <c r="R18" s="8"/>
      <c r="S18" s="8"/>
      <c r="T18" s="8"/>
    </row>
    <row r="19" spans="1:20" ht="15">
      <c r="A19" s="8" t="s">
        <v>31</v>
      </c>
      <c r="B19" s="24"/>
      <c r="C19" s="24"/>
      <c r="D19" s="24"/>
      <c r="E19" s="31"/>
      <c r="F19" s="24"/>
      <c r="G19" s="24"/>
      <c r="H19" s="25"/>
      <c r="I19" s="24"/>
      <c r="J19" s="22"/>
      <c r="K19" s="22"/>
      <c r="L19" s="22"/>
      <c r="M19" s="22"/>
      <c r="N19" s="26"/>
      <c r="O19" s="27">
        <f t="shared" si="2"/>
        <v>0</v>
      </c>
      <c r="P19" s="8"/>
      <c r="Q19" s="12"/>
      <c r="R19" s="12"/>
      <c r="S19" s="13"/>
      <c r="T19" s="8"/>
    </row>
    <row r="20" spans="1:20" ht="15">
      <c r="A20" s="6" t="s">
        <v>32</v>
      </c>
      <c r="B20" s="24">
        <v>110</v>
      </c>
      <c r="C20" s="24">
        <v>110</v>
      </c>
      <c r="D20" s="24">
        <v>110</v>
      </c>
      <c r="E20" s="24">
        <v>110</v>
      </c>
      <c r="F20" s="24">
        <v>110</v>
      </c>
      <c r="G20" s="24">
        <v>110</v>
      </c>
      <c r="H20" s="25">
        <v>110</v>
      </c>
      <c r="I20" s="24">
        <v>110</v>
      </c>
      <c r="J20" s="22">
        <v>110</v>
      </c>
      <c r="K20" s="22">
        <v>110</v>
      </c>
      <c r="L20" s="22">
        <v>110</v>
      </c>
      <c r="M20" s="22">
        <v>110</v>
      </c>
      <c r="N20" s="26"/>
      <c r="O20" s="27">
        <f t="shared" si="2"/>
        <v>1320</v>
      </c>
      <c r="P20" s="8"/>
      <c r="Q20" s="8"/>
      <c r="R20" s="8"/>
      <c r="S20" s="14"/>
      <c r="T20" s="8"/>
    </row>
    <row r="21" spans="1:20" ht="15">
      <c r="A21" s="6" t="s">
        <v>33</v>
      </c>
      <c r="B21" s="24">
        <v>70</v>
      </c>
      <c r="C21" s="24">
        <v>70</v>
      </c>
      <c r="D21" s="24">
        <v>70</v>
      </c>
      <c r="E21" s="24">
        <v>70</v>
      </c>
      <c r="F21" s="24">
        <v>70</v>
      </c>
      <c r="G21" s="24">
        <v>70</v>
      </c>
      <c r="H21" s="25">
        <v>70</v>
      </c>
      <c r="I21" s="24">
        <v>70</v>
      </c>
      <c r="J21" s="22">
        <v>70</v>
      </c>
      <c r="K21" s="22">
        <v>70</v>
      </c>
      <c r="L21" s="22">
        <v>70</v>
      </c>
      <c r="M21" s="22">
        <v>70</v>
      </c>
      <c r="N21" s="26"/>
      <c r="O21" s="27">
        <f t="shared" si="2"/>
        <v>840</v>
      </c>
      <c r="P21" s="8"/>
      <c r="Q21" s="8"/>
      <c r="R21" s="8"/>
      <c r="S21" s="14"/>
      <c r="T21" s="8"/>
    </row>
    <row r="22" spans="1:20" ht="15">
      <c r="A22" s="6" t="s">
        <v>34</v>
      </c>
      <c r="B22" s="24"/>
      <c r="C22" s="24"/>
      <c r="D22" s="24"/>
      <c r="E22" s="24"/>
      <c r="F22" s="24"/>
      <c r="G22" s="24"/>
      <c r="H22" s="25"/>
      <c r="I22" s="24"/>
      <c r="J22" s="22"/>
      <c r="K22" s="22"/>
      <c r="L22" s="22"/>
      <c r="M22" s="22"/>
      <c r="N22" s="26"/>
      <c r="O22" s="27">
        <f t="shared" si="2"/>
        <v>0</v>
      </c>
      <c r="P22" s="8"/>
      <c r="Q22" s="8"/>
      <c r="R22" s="8"/>
      <c r="S22" s="14"/>
      <c r="T22" s="8"/>
    </row>
    <row r="23" spans="1:20" ht="15">
      <c r="A23" s="6" t="s">
        <v>35</v>
      </c>
      <c r="B23" s="24">
        <v>1000</v>
      </c>
      <c r="C23" s="24">
        <v>1000</v>
      </c>
      <c r="D23" s="24">
        <v>1000</v>
      </c>
      <c r="E23" s="24"/>
      <c r="F23" s="24"/>
      <c r="G23" s="24"/>
      <c r="H23" s="25"/>
      <c r="I23" s="24"/>
      <c r="J23" s="22"/>
      <c r="K23" s="22"/>
      <c r="L23" s="22"/>
      <c r="M23" s="22"/>
      <c r="N23" s="26"/>
      <c r="O23" s="27">
        <f t="shared" si="2"/>
        <v>3000</v>
      </c>
      <c r="P23" s="8"/>
      <c r="Q23" s="8"/>
      <c r="R23" s="8"/>
      <c r="S23" s="14"/>
      <c r="T23" s="8"/>
    </row>
    <row r="24" spans="1:20" ht="15">
      <c r="A24" s="6"/>
      <c r="B24" s="24"/>
      <c r="C24" s="24"/>
      <c r="D24" s="24"/>
      <c r="E24" s="24"/>
      <c r="F24" s="24"/>
      <c r="G24" s="24"/>
      <c r="H24" s="25"/>
      <c r="I24" s="24"/>
      <c r="J24" s="22"/>
      <c r="K24" s="22"/>
      <c r="L24" s="22"/>
      <c r="M24" s="22"/>
      <c r="N24" s="26"/>
      <c r="O24" s="27">
        <f t="shared" si="2"/>
        <v>0</v>
      </c>
      <c r="P24" s="8"/>
      <c r="Q24" s="8"/>
      <c r="R24" s="8"/>
      <c r="S24" s="14"/>
      <c r="T24" s="8"/>
    </row>
    <row r="25" spans="1:20" ht="15">
      <c r="A25" s="6" t="s">
        <v>36</v>
      </c>
      <c r="B25" s="24">
        <v>54</v>
      </c>
      <c r="C25" s="24">
        <v>54</v>
      </c>
      <c r="D25" s="24">
        <v>54</v>
      </c>
      <c r="E25" s="24">
        <v>54</v>
      </c>
      <c r="F25" s="24">
        <v>54</v>
      </c>
      <c r="G25" s="24">
        <v>54</v>
      </c>
      <c r="H25" s="25">
        <v>54</v>
      </c>
      <c r="I25" s="24">
        <v>54</v>
      </c>
      <c r="J25" s="22">
        <v>54</v>
      </c>
      <c r="K25" s="22">
        <v>54</v>
      </c>
      <c r="L25" s="22">
        <v>54</v>
      </c>
      <c r="M25" s="22">
        <v>54</v>
      </c>
      <c r="N25" s="26"/>
      <c r="O25" s="27">
        <f t="shared" si="2"/>
        <v>648</v>
      </c>
      <c r="P25" s="8"/>
      <c r="Q25" s="8"/>
      <c r="R25" s="8"/>
      <c r="S25" s="14"/>
      <c r="T25" s="8"/>
    </row>
    <row r="26" spans="1:20" ht="15">
      <c r="A26" s="6" t="s">
        <v>37</v>
      </c>
      <c r="B26" s="24">
        <v>55</v>
      </c>
      <c r="C26" s="24">
        <v>55</v>
      </c>
      <c r="D26" s="24">
        <v>55</v>
      </c>
      <c r="E26" s="24">
        <v>55</v>
      </c>
      <c r="F26" s="24">
        <v>55</v>
      </c>
      <c r="G26" s="24">
        <v>55</v>
      </c>
      <c r="H26" s="25">
        <v>55</v>
      </c>
      <c r="I26" s="24">
        <v>55</v>
      </c>
      <c r="J26" s="22">
        <v>55</v>
      </c>
      <c r="K26" s="22">
        <v>55</v>
      </c>
      <c r="L26" s="22">
        <v>55</v>
      </c>
      <c r="M26" s="22">
        <v>55</v>
      </c>
      <c r="N26" s="26"/>
      <c r="O26" s="27">
        <f t="shared" si="2"/>
        <v>660</v>
      </c>
      <c r="P26" s="8"/>
      <c r="Q26" s="8"/>
      <c r="R26" s="8"/>
      <c r="S26" s="14"/>
      <c r="T26" s="8"/>
    </row>
    <row r="27" spans="1:20" ht="15">
      <c r="A27" s="6" t="s">
        <v>38</v>
      </c>
      <c r="B27" s="24">
        <v>55</v>
      </c>
      <c r="C27" s="24">
        <v>55</v>
      </c>
      <c r="D27" s="24">
        <v>55</v>
      </c>
      <c r="E27" s="24">
        <v>55</v>
      </c>
      <c r="F27" s="24">
        <v>55</v>
      </c>
      <c r="G27" s="24">
        <v>55</v>
      </c>
      <c r="H27" s="25">
        <v>55</v>
      </c>
      <c r="I27" s="24">
        <v>55</v>
      </c>
      <c r="J27" s="22">
        <v>55</v>
      </c>
      <c r="K27" s="22">
        <v>55</v>
      </c>
      <c r="L27" s="22">
        <v>55</v>
      </c>
      <c r="M27" s="22">
        <v>55</v>
      </c>
      <c r="N27" s="26"/>
      <c r="O27" s="27">
        <f t="shared" si="2"/>
        <v>660</v>
      </c>
      <c r="P27" s="8"/>
      <c r="Q27" s="8"/>
      <c r="R27" s="8"/>
      <c r="S27" s="14"/>
      <c r="T27" s="8"/>
    </row>
    <row r="28" spans="1:20" ht="15">
      <c r="A28" s="6" t="s">
        <v>39</v>
      </c>
      <c r="B28" s="24">
        <v>55</v>
      </c>
      <c r="C28" s="24">
        <v>55</v>
      </c>
      <c r="D28" s="24">
        <v>55</v>
      </c>
      <c r="E28" s="24">
        <v>55</v>
      </c>
      <c r="F28" s="24">
        <v>55</v>
      </c>
      <c r="G28" s="24">
        <v>55</v>
      </c>
      <c r="H28" s="25">
        <v>55</v>
      </c>
      <c r="I28" s="24">
        <v>55</v>
      </c>
      <c r="J28" s="22">
        <v>55</v>
      </c>
      <c r="K28" s="22">
        <v>55</v>
      </c>
      <c r="L28" s="22">
        <v>55</v>
      </c>
      <c r="M28" s="22">
        <v>55</v>
      </c>
      <c r="N28" s="26"/>
      <c r="O28" s="27">
        <f t="shared" si="2"/>
        <v>660</v>
      </c>
      <c r="P28" s="8"/>
      <c r="Q28" s="8"/>
      <c r="R28" s="8"/>
      <c r="S28" s="14"/>
      <c r="T28" s="8"/>
    </row>
    <row r="29" spans="1:20" ht="15">
      <c r="A29" s="6"/>
      <c r="B29" s="24"/>
      <c r="C29" s="24"/>
      <c r="D29" s="24"/>
      <c r="E29" s="24"/>
      <c r="F29" s="24"/>
      <c r="G29" s="24"/>
      <c r="H29" s="25"/>
      <c r="I29" s="24"/>
      <c r="J29" s="22"/>
      <c r="K29" s="22"/>
      <c r="L29" s="22"/>
      <c r="M29" s="22"/>
      <c r="N29" s="26"/>
      <c r="O29" s="27">
        <f t="shared" si="2"/>
        <v>0</v>
      </c>
      <c r="P29" s="8"/>
      <c r="Q29" s="8"/>
      <c r="R29" s="8"/>
      <c r="S29" s="14"/>
      <c r="T29" s="8"/>
    </row>
    <row r="30" spans="1:20" ht="15">
      <c r="A30" s="8" t="s">
        <v>40</v>
      </c>
      <c r="B30" s="24"/>
      <c r="C30" s="24"/>
      <c r="D30" s="24"/>
      <c r="E30" s="24"/>
      <c r="F30" s="28"/>
      <c r="G30" s="28"/>
      <c r="H30" s="29"/>
      <c r="I30" s="28"/>
      <c r="J30" s="22"/>
      <c r="K30" s="22"/>
      <c r="L30" s="22"/>
      <c r="M30" s="22"/>
      <c r="N30" s="26"/>
      <c r="O30" s="27">
        <f t="shared" si="2"/>
        <v>0</v>
      </c>
      <c r="P30" s="8"/>
      <c r="Q30" s="8"/>
      <c r="R30" s="8"/>
      <c r="S30" s="14"/>
      <c r="T30" s="8"/>
    </row>
    <row r="31" spans="1:20" ht="15">
      <c r="A31" s="15" t="s">
        <v>41</v>
      </c>
      <c r="B31" s="32">
        <f t="shared" ref="B31:O31" si="3">SUM(B9:B30)</f>
        <v>4140.91</v>
      </c>
      <c r="C31" s="32">
        <f t="shared" si="3"/>
        <v>4140.91</v>
      </c>
      <c r="D31" s="32">
        <f t="shared" si="3"/>
        <v>4140.91</v>
      </c>
      <c r="E31" s="32">
        <f t="shared" si="3"/>
        <v>3140.91</v>
      </c>
      <c r="F31" s="32">
        <f t="shared" si="3"/>
        <v>3140.91</v>
      </c>
      <c r="G31" s="32">
        <f t="shared" si="3"/>
        <v>3140.91</v>
      </c>
      <c r="H31" s="32">
        <f t="shared" si="3"/>
        <v>3140.91</v>
      </c>
      <c r="I31" s="32">
        <f t="shared" si="3"/>
        <v>3140.91</v>
      </c>
      <c r="J31" s="32">
        <f t="shared" si="3"/>
        <v>3140.91</v>
      </c>
      <c r="K31" s="32">
        <f t="shared" si="3"/>
        <v>3140.91</v>
      </c>
      <c r="L31" s="32">
        <f t="shared" si="3"/>
        <v>3140.91</v>
      </c>
      <c r="M31" s="32">
        <f t="shared" si="3"/>
        <v>3140.91</v>
      </c>
      <c r="N31" s="32">
        <f t="shared" si="3"/>
        <v>0</v>
      </c>
      <c r="O31" s="32">
        <f t="shared" si="3"/>
        <v>40690.92</v>
      </c>
      <c r="P31" s="6"/>
      <c r="Q31" s="6"/>
      <c r="R31" s="8"/>
      <c r="S31" s="14"/>
      <c r="T31" s="8"/>
    </row>
    <row r="32" spans="1:20" ht="15">
      <c r="A32" s="6"/>
      <c r="B32" s="26"/>
      <c r="C32" s="26"/>
      <c r="D32" s="26"/>
      <c r="E32" s="26"/>
      <c r="F32" s="26"/>
      <c r="G32" s="26"/>
      <c r="H32" s="40"/>
      <c r="I32" s="26"/>
      <c r="J32" s="26"/>
      <c r="K32" s="26"/>
      <c r="L32" s="26"/>
      <c r="M32" s="26"/>
      <c r="N32" s="26"/>
      <c r="O32" s="41" t="s">
        <v>42</v>
      </c>
      <c r="P32" s="6"/>
      <c r="Q32" s="6"/>
      <c r="R32" s="8"/>
      <c r="S32" s="14"/>
      <c r="T32" s="8"/>
    </row>
    <row r="33" spans="1:20" ht="15">
      <c r="A33" s="1" t="s">
        <v>43</v>
      </c>
      <c r="B33" s="42">
        <f>SUM(B6-B31)</f>
        <v>959.09000000000015</v>
      </c>
      <c r="C33" s="42">
        <f t="shared" ref="C33:N33" si="4">SUM(C6-C31)</f>
        <v>959.09000000000015</v>
      </c>
      <c r="D33" s="42">
        <f t="shared" si="4"/>
        <v>959.09000000000015</v>
      </c>
      <c r="E33" s="42">
        <f t="shared" si="4"/>
        <v>1959.0900000000001</v>
      </c>
      <c r="F33" s="42">
        <f t="shared" si="4"/>
        <v>1959.0900000000001</v>
      </c>
      <c r="G33" s="42">
        <f t="shared" si="4"/>
        <v>1959.0900000000001</v>
      </c>
      <c r="H33" s="42">
        <f t="shared" si="4"/>
        <v>1959.0900000000001</v>
      </c>
      <c r="I33" s="42">
        <f t="shared" si="4"/>
        <v>1959.0900000000001</v>
      </c>
      <c r="J33" s="42">
        <f t="shared" si="4"/>
        <v>1959.0900000000001</v>
      </c>
      <c r="K33" s="42">
        <f t="shared" si="4"/>
        <v>1959.0900000000001</v>
      </c>
      <c r="L33" s="42">
        <f t="shared" si="4"/>
        <v>1959.0900000000001</v>
      </c>
      <c r="M33" s="42">
        <f t="shared" si="4"/>
        <v>6735.09</v>
      </c>
      <c r="N33" s="42">
        <f t="shared" si="4"/>
        <v>0</v>
      </c>
      <c r="O33" s="26">
        <f>SUM(O6-O31)</f>
        <v>25285.08</v>
      </c>
      <c r="P33" s="6"/>
      <c r="Q33" s="6"/>
      <c r="R33" s="8"/>
      <c r="S33" s="14"/>
      <c r="T33" s="8"/>
    </row>
    <row r="34" spans="1:20" ht="15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6"/>
      <c r="Q34" s="6"/>
      <c r="R34" s="8"/>
      <c r="S34" s="14"/>
      <c r="T34" s="8"/>
    </row>
    <row r="35" spans="1:20" ht="15">
      <c r="A35" s="19" t="s">
        <v>44</v>
      </c>
      <c r="B35" s="44">
        <f t="shared" ref="B35:L35" si="5">B6*30%</f>
        <v>1530</v>
      </c>
      <c r="C35" s="44">
        <f t="shared" si="5"/>
        <v>1530</v>
      </c>
      <c r="D35" s="44">
        <f t="shared" si="5"/>
        <v>1530</v>
      </c>
      <c r="E35" s="44">
        <f t="shared" si="5"/>
        <v>1530</v>
      </c>
      <c r="F35" s="44">
        <f t="shared" si="5"/>
        <v>1530</v>
      </c>
      <c r="G35" s="44">
        <f t="shared" si="5"/>
        <v>1530</v>
      </c>
      <c r="H35" s="44">
        <f t="shared" si="5"/>
        <v>1530</v>
      </c>
      <c r="I35" s="44">
        <f t="shared" si="5"/>
        <v>1530</v>
      </c>
      <c r="J35" s="44">
        <f t="shared" si="5"/>
        <v>1530</v>
      </c>
      <c r="K35" s="44">
        <f t="shared" si="5"/>
        <v>1530</v>
      </c>
      <c r="L35" s="44">
        <f t="shared" si="5"/>
        <v>1530</v>
      </c>
      <c r="M35" s="44">
        <f>M6*30%</f>
        <v>2962.7999999999997</v>
      </c>
      <c r="N35" s="44">
        <f>N6*30%</f>
        <v>0</v>
      </c>
      <c r="O35" s="45">
        <f>SUM(B35:N35)</f>
        <v>19792.8</v>
      </c>
      <c r="P35" s="6"/>
      <c r="Q35" s="6"/>
      <c r="R35" s="8"/>
      <c r="S35" s="14"/>
      <c r="T35" s="8"/>
    </row>
    <row r="36" spans="1:20" ht="15">
      <c r="A36" s="8"/>
      <c r="B36" s="8"/>
      <c r="C36" s="18"/>
      <c r="D36" s="8"/>
      <c r="E36" s="18"/>
      <c r="F36" s="18"/>
      <c r="G36" s="8"/>
      <c r="H36" s="8"/>
      <c r="I36" s="8"/>
      <c r="J36" s="8"/>
      <c r="K36" s="18"/>
      <c r="L36" s="18"/>
      <c r="M36" s="18"/>
      <c r="N36" s="6"/>
      <c r="O36" s="8"/>
      <c r="P36" s="8"/>
      <c r="Q36" s="8"/>
      <c r="R36" s="8"/>
      <c r="S36" s="14"/>
      <c r="T36" s="8"/>
    </row>
    <row r="37" spans="1:20" ht="15">
      <c r="A37" s="8"/>
      <c r="B37" s="18"/>
      <c r="C37" s="18"/>
      <c r="D37" s="8"/>
      <c r="E37" s="18"/>
      <c r="F37" s="18"/>
      <c r="G37" s="18"/>
      <c r="H37" s="8"/>
      <c r="I37" s="18"/>
      <c r="J37" s="18"/>
      <c r="K37" s="8"/>
      <c r="L37" s="18"/>
      <c r="M37" s="18"/>
      <c r="N37" s="6"/>
      <c r="O37" s="8"/>
      <c r="P37" s="8"/>
      <c r="Q37" s="8"/>
      <c r="R37" s="8"/>
      <c r="S37" s="14"/>
      <c r="T37" s="8"/>
    </row>
    <row r="38" spans="1:20" ht="15">
      <c r="A38" s="8"/>
      <c r="B38" s="18"/>
      <c r="C38" s="18"/>
      <c r="D38" s="18"/>
      <c r="E38" s="18"/>
      <c r="F38" s="18"/>
      <c r="G38" s="8"/>
      <c r="H38" s="8"/>
      <c r="I38" s="8"/>
      <c r="J38" s="18"/>
      <c r="K38" s="18"/>
      <c r="L38" s="18"/>
      <c r="M38" s="18"/>
      <c r="N38" s="6"/>
      <c r="O38" s="8"/>
      <c r="P38" s="6"/>
      <c r="Q38" s="6"/>
      <c r="R38" s="6"/>
      <c r="S38" s="6"/>
      <c r="T38" s="6"/>
    </row>
    <row r="39" spans="1:20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6"/>
      <c r="O39" s="8"/>
      <c r="P39" s="6"/>
      <c r="Q39" s="6"/>
      <c r="R39" s="6"/>
      <c r="S39" s="6"/>
      <c r="T39" s="6"/>
    </row>
    <row r="40" spans="1:20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6"/>
      <c r="O40" s="8"/>
      <c r="P40" s="6"/>
      <c r="Q40" s="6"/>
      <c r="R40" s="6"/>
      <c r="S40" s="6"/>
      <c r="T40" s="6"/>
    </row>
    <row r="41" spans="1:20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6"/>
      <c r="O41" s="8"/>
      <c r="P41" s="6"/>
      <c r="Q41" s="6"/>
      <c r="R41" s="6"/>
      <c r="S41" s="6"/>
      <c r="T41" s="6"/>
    </row>
    <row r="42" spans="1:20" ht="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ht="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ht="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ht="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ht="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ht="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ht="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6"/>
      <c r="Q48" s="6"/>
      <c r="R48" s="6"/>
      <c r="S48" s="6"/>
      <c r="T48" s="6"/>
    </row>
    <row r="49" spans="1:20" ht="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6"/>
      <c r="Q49" s="6"/>
      <c r="R49" s="6"/>
      <c r="S49" s="6"/>
      <c r="T49" s="6"/>
    </row>
    <row r="50" spans="1:20" ht="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6"/>
      <c r="Q50" s="6"/>
      <c r="R50" s="6"/>
      <c r="S50" s="6"/>
      <c r="T50" s="6"/>
    </row>
    <row r="51" spans="1:20" ht="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6"/>
      <c r="Q51" s="6"/>
      <c r="R51" s="6"/>
      <c r="S51" s="6"/>
      <c r="T51" s="6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2006-09-25T12:47:36Z</dcterms:created>
  <dcterms:modified xsi:type="dcterms:W3CDTF">2026-08-16T12:18:06Z</dcterms:modified>
  <cp:category/>
  <cp:contentStatus/>
</cp:coreProperties>
</file>